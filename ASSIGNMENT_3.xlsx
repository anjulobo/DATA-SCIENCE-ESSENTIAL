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e1c7adfb8066f7/"/>
    </mc:Choice>
  </mc:AlternateContent>
  <xr:revisionPtr revIDLastSave="0" documentId="8_{7A065C28-0AFA-42E1-8157-02CEC7C140CD}" xr6:coauthVersionLast="47" xr6:coauthVersionMax="47" xr10:uidLastSave="{00000000-0000-0000-0000-000000000000}"/>
  <bookViews>
    <workbookView xWindow="-120" yWindow="-120" windowWidth="20730" windowHeight="11040" activeTab="1" xr2:uid="{0E68B5D4-55B9-4934-9AD4-77165DCA3B5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2" l="1"/>
  <c r="J19" i="2"/>
  <c r="J14" i="2"/>
  <c r="B27" i="1"/>
  <c r="I10" i="2"/>
  <c r="B37" i="1"/>
  <c r="B32" i="1"/>
  <c r="B22" i="1"/>
</calcChain>
</file>

<file path=xl/sharedStrings.xml><?xml version="1.0" encoding="utf-8"?>
<sst xmlns="http://schemas.openxmlformats.org/spreadsheetml/2006/main" count="180" uniqueCount="65">
  <si>
    <t>Student's Name</t>
  </si>
  <si>
    <t>Python</t>
  </si>
  <si>
    <t>Class Teacher</t>
  </si>
  <si>
    <t>Manya</t>
  </si>
  <si>
    <t>Sanjay</t>
  </si>
  <si>
    <t>Ravi</t>
  </si>
  <si>
    <t>Garima</t>
  </si>
  <si>
    <t>Preetam</t>
  </si>
  <si>
    <t>Anvesha</t>
  </si>
  <si>
    <t>Prateek</t>
  </si>
  <si>
    <t>Rama</t>
  </si>
  <si>
    <t>Alok</t>
  </si>
  <si>
    <t>Rahul</t>
  </si>
  <si>
    <t>DE001</t>
  </si>
  <si>
    <t>DE002</t>
  </si>
  <si>
    <t>DE003</t>
  </si>
  <si>
    <t>DE004</t>
  </si>
  <si>
    <t>DE005</t>
  </si>
  <si>
    <t>Neema Jha</t>
  </si>
  <si>
    <t>Arjun Sharma</t>
  </si>
  <si>
    <t>Rajan Trehan</t>
  </si>
  <si>
    <t>Pratima Rathi</t>
  </si>
  <si>
    <t>Rohan Raj</t>
  </si>
  <si>
    <t>Gaurav Kumar</t>
  </si>
  <si>
    <t>Umesh Pathak</t>
  </si>
  <si>
    <t>Raj Kumar</t>
  </si>
  <si>
    <t>Neha Umang</t>
  </si>
  <si>
    <t>Pariniti Chopra</t>
  </si>
  <si>
    <t>Student AND Teacher's Information</t>
  </si>
  <si>
    <t>Department &amp; HOD</t>
  </si>
  <si>
    <t>Department Id</t>
  </si>
  <si>
    <t>HOD</t>
  </si>
  <si>
    <t>Payal Dikshit</t>
  </si>
  <si>
    <t xml:space="preserve">Rayon </t>
  </si>
  <si>
    <t>Suraj Sharma</t>
  </si>
  <si>
    <t>Khyati Dutta</t>
  </si>
  <si>
    <t>Rahul Bajaj</t>
  </si>
  <si>
    <t>HOD Details</t>
  </si>
  <si>
    <t>Major Subjects</t>
  </si>
  <si>
    <t>Subject Information</t>
  </si>
  <si>
    <t>Credit</t>
  </si>
  <si>
    <t>Course Duration</t>
  </si>
  <si>
    <t>Excel</t>
  </si>
  <si>
    <t>Power BI</t>
  </si>
  <si>
    <t>Statistics</t>
  </si>
  <si>
    <t>Data Science</t>
  </si>
  <si>
    <t>Department_Id</t>
  </si>
  <si>
    <t>Department Name</t>
  </si>
  <si>
    <t>Data Analyst</t>
  </si>
  <si>
    <t>Visual Report Analyst</t>
  </si>
  <si>
    <t>SQL Query</t>
  </si>
  <si>
    <t>1. Prepare a vlookup and find the total duration course for which the student will be engazed in the class to get their respective degrees.</t>
  </si>
  <si>
    <t>Student Name</t>
  </si>
  <si>
    <t>2. Using name of student and find the HOD</t>
  </si>
  <si>
    <t xml:space="preserve">Student Name </t>
  </si>
  <si>
    <t>HOD Name</t>
  </si>
  <si>
    <t>3. Using department id find the major subject</t>
  </si>
  <si>
    <t>Dept ID</t>
  </si>
  <si>
    <t>Major Subject</t>
  </si>
  <si>
    <t>4. Using credit find the name of the department.</t>
  </si>
  <si>
    <t>VLOOKUP METHOD</t>
  </si>
  <si>
    <t>HLOOKUP VALUES</t>
  </si>
  <si>
    <t>1. Prepare a Hlookup and find the total duration course for which the student will be engazed in the class to get their respective degrees.</t>
  </si>
  <si>
    <t>TRANSPOSE DATA</t>
  </si>
  <si>
    <t>IN 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</si>
</sst>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5" xfId="0" applyBorder="1"/>
    <xf numFmtId="0" fontId="0" fillId="0" borderId="8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2" fillId="0" borderId="2" xfId="0" applyFont="1" applyBorder="1" applyAlignment="1">
      <alignment horizontal="left"/>
    </xf>
    <xf numFmtId="0" fontId="2" fillId="0" borderId="4" xfId="0" applyFont="1" applyBorder="1"/>
    <xf numFmtId="0" fontId="2" fillId="0" borderId="3" xfId="0" applyFont="1" applyBorder="1"/>
    <xf numFmtId="0" fontId="0" fillId="0" borderId="9" xfId="0" applyBorder="1"/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4" borderId="1" xfId="0" applyFill="1" applyBorder="1"/>
    <xf numFmtId="0" fontId="4" fillId="0" borderId="1" xfId="0" applyFont="1" applyBorder="1"/>
    <xf numFmtId="0" fontId="0" fillId="4" borderId="1" xfId="0" applyFill="1" applyBorder="1" applyAlignment="1">
      <alignment horizontal="left"/>
    </xf>
    <xf numFmtId="0" fontId="4" fillId="4" borderId="0" xfId="0" applyFont="1" applyFill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2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16</xdr:row>
      <xdr:rowOff>85725</xdr:rowOff>
    </xdr:from>
    <xdr:to>
      <xdr:col>1</xdr:col>
      <xdr:colOff>189356</xdr:colOff>
      <xdr:row>18</xdr:row>
      <xdr:rowOff>25907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76B9B854-9487-515D-66C8-B8AD42564E1D}"/>
            </a:ext>
          </a:extLst>
        </xdr:cNvPr>
        <xdr:cNvSpPr/>
      </xdr:nvSpPr>
      <xdr:spPr>
        <a:xfrm>
          <a:off x="1238250" y="3219450"/>
          <a:ext cx="141731" cy="32118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1143000</xdr:colOff>
      <xdr:row>1</xdr:row>
      <xdr:rowOff>9525</xdr:rowOff>
    </xdr:from>
    <xdr:to>
      <xdr:col>2</xdr:col>
      <xdr:colOff>122681</xdr:colOff>
      <xdr:row>3</xdr:row>
      <xdr:rowOff>159257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270A7FB8-D541-293E-B0CB-7B4AF181DBBE}"/>
            </a:ext>
          </a:extLst>
        </xdr:cNvPr>
        <xdr:cNvSpPr/>
      </xdr:nvSpPr>
      <xdr:spPr>
        <a:xfrm>
          <a:off x="1752600" y="200025"/>
          <a:ext cx="132206" cy="53073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180976</xdr:colOff>
      <xdr:row>12</xdr:row>
      <xdr:rowOff>123825</xdr:rowOff>
    </xdr:from>
    <xdr:to>
      <xdr:col>7</xdr:col>
      <xdr:colOff>826008</xdr:colOff>
      <xdr:row>13</xdr:row>
      <xdr:rowOff>132207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BD0C7557-5E3B-77E8-D012-CB1EA9513BA8}"/>
            </a:ext>
          </a:extLst>
        </xdr:cNvPr>
        <xdr:cNvSpPr/>
      </xdr:nvSpPr>
      <xdr:spPr>
        <a:xfrm>
          <a:off x="6657976" y="2867025"/>
          <a:ext cx="645032" cy="2560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380999</xdr:colOff>
      <xdr:row>8</xdr:row>
      <xdr:rowOff>19052</xdr:rowOff>
    </xdr:from>
    <xdr:to>
      <xdr:col>6</xdr:col>
      <xdr:colOff>819530</xdr:colOff>
      <xdr:row>9</xdr:row>
      <xdr:rowOff>209931</xdr:rowOff>
    </xdr:to>
    <xdr:sp macro="" textlink="">
      <xdr:nvSpPr>
        <xdr:cNvPr id="5" name="Arrow: Bent-Up 4">
          <a:extLst>
            <a:ext uri="{FF2B5EF4-FFF2-40B4-BE49-F238E27FC236}">
              <a16:creationId xmlns:a16="http://schemas.microsoft.com/office/drawing/2014/main" id="{8450D797-92C5-2FF6-95A1-17CD650EE4CC}"/>
            </a:ext>
          </a:extLst>
        </xdr:cNvPr>
        <xdr:cNvSpPr/>
      </xdr:nvSpPr>
      <xdr:spPr>
        <a:xfrm rot="5400000">
          <a:off x="5915025" y="1771651"/>
          <a:ext cx="438529" cy="438531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171450</xdr:colOff>
      <xdr:row>17</xdr:row>
      <xdr:rowOff>142875</xdr:rowOff>
    </xdr:from>
    <xdr:to>
      <xdr:col>7</xdr:col>
      <xdr:colOff>806958</xdr:colOff>
      <xdr:row>18</xdr:row>
      <xdr:rowOff>132207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B469F8CD-CBCB-3211-E1CA-8E7E48E17F8C}"/>
            </a:ext>
          </a:extLst>
        </xdr:cNvPr>
        <xdr:cNvSpPr/>
      </xdr:nvSpPr>
      <xdr:spPr>
        <a:xfrm>
          <a:off x="6648450" y="4124325"/>
          <a:ext cx="635508" cy="23698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200025</xdr:colOff>
      <xdr:row>23</xdr:row>
      <xdr:rowOff>114300</xdr:rowOff>
    </xdr:from>
    <xdr:to>
      <xdr:col>7</xdr:col>
      <xdr:colOff>911733</xdr:colOff>
      <xdr:row>24</xdr:row>
      <xdr:rowOff>103632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285767A9-9BBB-DCEA-8775-25F4A23E04F7}"/>
            </a:ext>
          </a:extLst>
        </xdr:cNvPr>
        <xdr:cNvSpPr/>
      </xdr:nvSpPr>
      <xdr:spPr>
        <a:xfrm>
          <a:off x="6677025" y="5581650"/>
          <a:ext cx="711708" cy="23698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54EA6A-F570-42E7-ADF3-F38CBAC35D0F}" name="Table5" displayName="Table5" ref="A5:C15" totalsRowShown="0" headerRowBorderDxfId="23" tableBorderDxfId="22" totalsRowBorderDxfId="21">
  <autoFilter ref="A5:C15" xr:uid="{B654EA6A-F570-42E7-ADF3-F38CBAC35D0F}"/>
  <tableColumns count="3">
    <tableColumn id="1" xr3:uid="{6ACC14BE-38F8-4B14-9627-E46F448BC936}" name="Student's Name" dataDxfId="20"/>
    <tableColumn id="2" xr3:uid="{5042A48C-9B71-4896-B07F-22F9844052BF}" name="Department_Id" dataDxfId="19"/>
    <tableColumn id="3" xr3:uid="{5430BA77-397E-4F8E-9D4B-96DF4BD0FAA3}" name="Class Teacher" dataDxfId="18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38A4885-6661-4AD1-BB83-F90AB66B2205}" name="Table6" displayName="Table6" ref="E5:F15" totalsRowShown="0" headerRowDxfId="17" headerRowBorderDxfId="16" tableBorderDxfId="15" totalsRowBorderDxfId="14">
  <autoFilter ref="E5:F15" xr:uid="{738A4885-6661-4AD1-BB83-F90AB66B2205}"/>
  <tableColumns count="2">
    <tableColumn id="1" xr3:uid="{6882B4FD-3A1C-4706-B599-76BDF210CA04}" name="Department Id"/>
    <tableColumn id="2" xr3:uid="{02DA74F3-E505-4E8C-9111-854A33188849}" name="HOD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B7EAEC-2E84-4860-8742-344F7724B014}" name="Table7" displayName="Table7" ref="H5:J15" totalsRowShown="0" headerRowDxfId="13" headerRowBorderDxfId="12" tableBorderDxfId="11" totalsRowBorderDxfId="10">
  <autoFilter ref="H5:J15" xr:uid="{4FB7EAEC-2E84-4860-8742-344F7724B014}"/>
  <tableColumns count="3">
    <tableColumn id="1" xr3:uid="{CB69EDE2-258A-4EE1-B723-2E4889164BB5}" name="HOD" dataDxfId="9"/>
    <tableColumn id="2" xr3:uid="{6D1F49BB-A34E-4479-BEDE-0ACDD94E6892}" name="Department Name" dataDxfId="8"/>
    <tableColumn id="3" xr3:uid="{9971C2FF-B489-4BFE-A090-40C6E5D04778}" name="Major Subjects" dataDxfId="7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45C71E6-B506-48C4-9201-BA41BF978138}" name="Table8" displayName="Table8" ref="L5:N15" totalsRowShown="0" headerRowDxfId="6" headerRowBorderDxfId="5" tableBorderDxfId="4" totalsRowBorderDxfId="3">
  <autoFilter ref="L5:N15" xr:uid="{645C71E6-B506-48C4-9201-BA41BF978138}"/>
  <tableColumns count="3">
    <tableColumn id="1" xr3:uid="{D867AC0B-9ECE-4EE7-A5BF-06885C226963}" name="Major Subjects" dataDxfId="2"/>
    <tableColumn id="2" xr3:uid="{2AD54B4D-5236-4C00-B14F-30CA1D945285}" name="Credit" dataDxfId="1"/>
    <tableColumn id="3" xr3:uid="{7587A60E-3C47-490A-A4BD-804F3EBF96F1}" name="Course Duration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6CDF9-279F-484D-B38F-E6CE68B000D6}">
  <dimension ref="A4:N37"/>
  <sheetViews>
    <sheetView topLeftCell="A17" workbookViewId="0">
      <selection activeCell="B37" sqref="B37"/>
    </sheetView>
  </sheetViews>
  <sheetFormatPr defaultRowHeight="15" x14ac:dyDescent="0.25"/>
  <cols>
    <col min="1" max="1" width="17.85546875" customWidth="1"/>
    <col min="2" max="2" width="18" customWidth="1"/>
    <col min="3" max="3" width="17.5703125" customWidth="1"/>
    <col min="4" max="4" width="9.28515625" customWidth="1"/>
    <col min="5" max="5" width="16.42578125" customWidth="1"/>
    <col min="6" max="6" width="13.85546875" customWidth="1"/>
    <col min="7" max="7" width="9.140625" customWidth="1"/>
    <col min="8" max="8" width="14.28515625" customWidth="1"/>
    <col min="9" max="9" width="19.28515625" customWidth="1"/>
    <col min="10" max="10" width="18.140625" customWidth="1"/>
    <col min="11" max="11" width="10" customWidth="1"/>
    <col min="12" max="12" width="17" customWidth="1"/>
    <col min="13" max="13" width="10.5703125" customWidth="1"/>
    <col min="14" max="14" width="17" customWidth="1"/>
  </cols>
  <sheetData>
    <row r="4" spans="1:14" ht="21" x14ac:dyDescent="0.35">
      <c r="A4" s="24" t="s">
        <v>28</v>
      </c>
      <c r="B4" s="24"/>
      <c r="C4" s="24"/>
      <c r="E4" s="25" t="s">
        <v>29</v>
      </c>
      <c r="F4" s="25"/>
      <c r="H4" s="24" t="s">
        <v>37</v>
      </c>
      <c r="I4" s="24"/>
      <c r="J4" s="24"/>
      <c r="L4" s="25" t="s">
        <v>39</v>
      </c>
      <c r="M4" s="25"/>
      <c r="N4" s="25"/>
    </row>
    <row r="5" spans="1:14" ht="15.75" x14ac:dyDescent="0.25">
      <c r="A5" s="6" t="s">
        <v>0</v>
      </c>
      <c r="B5" s="7" t="s">
        <v>46</v>
      </c>
      <c r="C5" s="8" t="s">
        <v>2</v>
      </c>
      <c r="E5" s="12" t="s">
        <v>30</v>
      </c>
      <c r="F5" s="12" t="s">
        <v>31</v>
      </c>
      <c r="H5" s="6" t="s">
        <v>31</v>
      </c>
      <c r="I5" s="11" t="s">
        <v>47</v>
      </c>
      <c r="J5" s="10" t="s">
        <v>38</v>
      </c>
      <c r="L5" s="6" t="s">
        <v>38</v>
      </c>
      <c r="M5" s="11" t="s">
        <v>40</v>
      </c>
      <c r="N5" s="10" t="s">
        <v>41</v>
      </c>
    </row>
    <row r="6" spans="1:14" x14ac:dyDescent="0.25">
      <c r="A6" s="4" t="s">
        <v>3</v>
      </c>
      <c r="B6" s="3" t="s">
        <v>13</v>
      </c>
      <c r="C6" s="5" t="s">
        <v>18</v>
      </c>
      <c r="E6" s="3" t="s">
        <v>13</v>
      </c>
      <c r="F6" s="3" t="s">
        <v>32</v>
      </c>
      <c r="H6" s="4" t="s">
        <v>32</v>
      </c>
      <c r="I6" s="3" t="s">
        <v>45</v>
      </c>
      <c r="J6" s="5" t="s">
        <v>1</v>
      </c>
      <c r="L6" s="4" t="s">
        <v>1</v>
      </c>
      <c r="M6" s="3">
        <v>5</v>
      </c>
      <c r="N6" s="5">
        <v>8</v>
      </c>
    </row>
    <row r="7" spans="1:14" x14ac:dyDescent="0.25">
      <c r="A7" s="4" t="s">
        <v>4</v>
      </c>
      <c r="B7" s="3" t="s">
        <v>14</v>
      </c>
      <c r="C7" s="5" t="s">
        <v>19</v>
      </c>
      <c r="E7" s="3" t="s">
        <v>14</v>
      </c>
      <c r="F7" s="3" t="s">
        <v>33</v>
      </c>
      <c r="H7" s="4" t="s">
        <v>33</v>
      </c>
      <c r="I7" s="3" t="s">
        <v>48</v>
      </c>
      <c r="J7" s="5" t="s">
        <v>42</v>
      </c>
      <c r="L7" s="4" t="s">
        <v>42</v>
      </c>
      <c r="M7" s="3">
        <v>6</v>
      </c>
      <c r="N7" s="5">
        <v>10</v>
      </c>
    </row>
    <row r="8" spans="1:14" x14ac:dyDescent="0.25">
      <c r="A8" s="4" t="s">
        <v>5</v>
      </c>
      <c r="B8" s="3" t="s">
        <v>15</v>
      </c>
      <c r="C8" s="5" t="s">
        <v>20</v>
      </c>
      <c r="E8" s="3" t="s">
        <v>15</v>
      </c>
      <c r="F8" s="3" t="s">
        <v>34</v>
      </c>
      <c r="H8" s="4" t="s">
        <v>34</v>
      </c>
      <c r="I8" s="3" t="s">
        <v>49</v>
      </c>
      <c r="J8" s="5" t="s">
        <v>43</v>
      </c>
      <c r="L8" s="4" t="s">
        <v>43</v>
      </c>
      <c r="M8" s="3">
        <v>10</v>
      </c>
      <c r="N8" s="5">
        <v>7</v>
      </c>
    </row>
    <row r="9" spans="1:14" x14ac:dyDescent="0.25">
      <c r="A9" s="4" t="s">
        <v>6</v>
      </c>
      <c r="B9" s="3" t="s">
        <v>16</v>
      </c>
      <c r="C9" s="5" t="s">
        <v>21</v>
      </c>
      <c r="E9" s="3" t="s">
        <v>16</v>
      </c>
      <c r="F9" s="3" t="s">
        <v>35</v>
      </c>
      <c r="H9" s="4" t="s">
        <v>35</v>
      </c>
      <c r="I9" s="3" t="s">
        <v>48</v>
      </c>
      <c r="J9" s="5" t="s">
        <v>50</v>
      </c>
      <c r="L9" s="4" t="s">
        <v>50</v>
      </c>
      <c r="M9" s="3">
        <v>12</v>
      </c>
      <c r="N9" s="5">
        <v>12</v>
      </c>
    </row>
    <row r="10" spans="1:14" x14ac:dyDescent="0.25">
      <c r="A10" s="4" t="s">
        <v>7</v>
      </c>
      <c r="B10" s="3" t="s">
        <v>17</v>
      </c>
      <c r="C10" s="5" t="s">
        <v>22</v>
      </c>
      <c r="E10" s="3" t="s">
        <v>17</v>
      </c>
      <c r="F10" s="3" t="s">
        <v>36</v>
      </c>
      <c r="H10" s="4" t="s">
        <v>36</v>
      </c>
      <c r="I10" s="3" t="s">
        <v>45</v>
      </c>
      <c r="J10" s="5" t="s">
        <v>44</v>
      </c>
      <c r="L10" s="4" t="s">
        <v>44</v>
      </c>
      <c r="M10" s="3">
        <v>12</v>
      </c>
      <c r="N10" s="5">
        <v>8</v>
      </c>
    </row>
    <row r="11" spans="1:14" x14ac:dyDescent="0.25">
      <c r="A11" s="4" t="s">
        <v>8</v>
      </c>
      <c r="B11" s="3" t="s">
        <v>13</v>
      </c>
      <c r="C11" s="5" t="s">
        <v>23</v>
      </c>
      <c r="H11" s="4"/>
      <c r="I11" s="3"/>
      <c r="J11" s="5"/>
      <c r="L11" s="4"/>
      <c r="M11" s="3"/>
      <c r="N11" s="5"/>
    </row>
    <row r="12" spans="1:14" x14ac:dyDescent="0.25">
      <c r="A12" s="4" t="s">
        <v>9</v>
      </c>
      <c r="B12" s="3" t="s">
        <v>14</v>
      </c>
      <c r="C12" s="5" t="s">
        <v>24</v>
      </c>
      <c r="H12" s="4"/>
      <c r="I12" s="3"/>
      <c r="J12" s="5"/>
      <c r="L12" s="4"/>
      <c r="M12" s="3"/>
      <c r="N12" s="5"/>
    </row>
    <row r="13" spans="1:14" x14ac:dyDescent="0.25">
      <c r="A13" s="4" t="s">
        <v>10</v>
      </c>
      <c r="B13" s="3" t="s">
        <v>15</v>
      </c>
      <c r="C13" s="5" t="s">
        <v>25</v>
      </c>
      <c r="H13" s="4"/>
      <c r="I13" s="3"/>
      <c r="J13" s="5"/>
      <c r="L13" s="4"/>
      <c r="M13" s="3"/>
      <c r="N13" s="5"/>
    </row>
    <row r="14" spans="1:14" x14ac:dyDescent="0.25">
      <c r="A14" s="4" t="s">
        <v>11</v>
      </c>
      <c r="B14" s="3" t="s">
        <v>16</v>
      </c>
      <c r="C14" s="5" t="s">
        <v>26</v>
      </c>
      <c r="H14" s="4"/>
      <c r="I14" s="3"/>
      <c r="J14" s="5"/>
      <c r="L14" s="4"/>
      <c r="M14" s="3"/>
      <c r="N14" s="5"/>
    </row>
    <row r="15" spans="1:14" x14ac:dyDescent="0.25">
      <c r="A15" s="2" t="s">
        <v>12</v>
      </c>
      <c r="B15" s="9" t="s">
        <v>17</v>
      </c>
      <c r="C15" s="1" t="s">
        <v>27</v>
      </c>
      <c r="H15" s="2"/>
      <c r="I15" s="9"/>
      <c r="J15" s="1"/>
      <c r="L15" s="2"/>
      <c r="M15" s="9"/>
      <c r="N15" s="1"/>
    </row>
    <row r="17" spans="1:2" x14ac:dyDescent="0.25">
      <c r="A17" s="16" t="s">
        <v>60</v>
      </c>
    </row>
    <row r="19" spans="1:2" x14ac:dyDescent="0.25">
      <c r="A19" t="s">
        <v>51</v>
      </c>
    </row>
    <row r="21" spans="1:2" x14ac:dyDescent="0.25">
      <c r="A21" s="14" t="s">
        <v>52</v>
      </c>
      <c r="B21" s="14" t="s">
        <v>41</v>
      </c>
    </row>
    <row r="22" spans="1:2" x14ac:dyDescent="0.25">
      <c r="A22" s="13" t="s">
        <v>3</v>
      </c>
      <c r="B22" s="13">
        <f>VLOOKUP(VLOOKUP(VLOOKUP(VLOOKUP(A22,Table5[[#All],[Student''s Name]:[Department_Id]],2,0),E5:F10,2,0),H5:J10,3,0),L5:N10,3,0)</f>
        <v>8</v>
      </c>
    </row>
    <row r="24" spans="1:2" x14ac:dyDescent="0.25">
      <c r="A24" t="s">
        <v>53</v>
      </c>
    </row>
    <row r="26" spans="1:2" x14ac:dyDescent="0.25">
      <c r="A26" s="14" t="s">
        <v>54</v>
      </c>
      <c r="B26" s="14" t="s">
        <v>55</v>
      </c>
    </row>
    <row r="27" spans="1:2" x14ac:dyDescent="0.25">
      <c r="A27" s="13" t="s">
        <v>6</v>
      </c>
      <c r="B27" s="13" t="str">
        <f>VLOOKUP(VLOOKUP(A27,Table5[[#All],[Student''s Name]:[Department_Id]],2,0),E5:F10,2,0)</f>
        <v>Khyati Dutta</v>
      </c>
    </row>
    <row r="29" spans="1:2" x14ac:dyDescent="0.25">
      <c r="A29" t="s">
        <v>56</v>
      </c>
    </row>
    <row r="31" spans="1:2" x14ac:dyDescent="0.25">
      <c r="A31" s="14" t="s">
        <v>57</v>
      </c>
      <c r="B31" s="14" t="s">
        <v>58</v>
      </c>
    </row>
    <row r="32" spans="1:2" x14ac:dyDescent="0.25">
      <c r="A32" s="13" t="s">
        <v>14</v>
      </c>
      <c r="B32" s="13" t="str">
        <f>VLOOKUP(VLOOKUP(A32,E5:F10,2,0),H5:J10,3,0)</f>
        <v>Excel</v>
      </c>
    </row>
    <row r="34" spans="1:2" x14ac:dyDescent="0.25">
      <c r="A34" t="s">
        <v>59</v>
      </c>
    </row>
    <row r="36" spans="1:2" x14ac:dyDescent="0.25">
      <c r="A36" s="14" t="s">
        <v>40</v>
      </c>
      <c r="B36" s="14" t="s">
        <v>47</v>
      </c>
    </row>
    <row r="37" spans="1:2" x14ac:dyDescent="0.25">
      <c r="A37" s="15">
        <v>12</v>
      </c>
      <c r="B37" s="13" t="str">
        <f>_xlfn.XLOOKUP(_xlfn.XLOOKUP(A37,M5:M10,L5:L10,,0),J5:J10,I5:I10,,0)</f>
        <v>Data Analyst</v>
      </c>
    </row>
  </sheetData>
  <mergeCells count="4">
    <mergeCell ref="A4:C4"/>
    <mergeCell ref="E4:F4"/>
    <mergeCell ref="H4:J4"/>
    <mergeCell ref="L4:N4"/>
  </mergeCells>
  <phoneticPr fontId="1" type="noConversion"/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EF72C-2770-4A6B-B52F-29F88DA03F18}">
  <dimension ref="A2:L28"/>
  <sheetViews>
    <sheetView tabSelected="1" topLeftCell="A13" workbookViewId="0">
      <selection activeCell="I25" sqref="I25:J25"/>
    </sheetView>
  </sheetViews>
  <sheetFormatPr defaultRowHeight="15" x14ac:dyDescent="0.25"/>
  <cols>
    <col min="2" max="2" width="17.28515625" bestFit="1" customWidth="1"/>
    <col min="3" max="8" width="14.140625" customWidth="1"/>
    <col min="9" max="9" width="15.140625" customWidth="1"/>
    <col min="10" max="10" width="17.42578125" customWidth="1"/>
    <col min="11" max="12" width="14.140625" customWidth="1"/>
  </cols>
  <sheetData>
    <row r="2" spans="1:12" x14ac:dyDescent="0.25">
      <c r="B2" s="16" t="s">
        <v>61</v>
      </c>
    </row>
    <row r="3" spans="1:12" x14ac:dyDescent="0.25">
      <c r="B3" s="16" t="s">
        <v>63</v>
      </c>
    </row>
    <row r="4" spans="1:12" x14ac:dyDescent="0.25">
      <c r="B4" s="16" t="s">
        <v>64</v>
      </c>
    </row>
    <row r="5" spans="1:12" ht="19.5" customHeight="1" x14ac:dyDescent="0.25">
      <c r="B5" s="19" t="s">
        <v>0</v>
      </c>
      <c r="C5" s="17" t="s">
        <v>3</v>
      </c>
      <c r="D5" s="17" t="s">
        <v>4</v>
      </c>
      <c r="E5" s="17" t="s">
        <v>5</v>
      </c>
      <c r="F5" s="17" t="s">
        <v>6</v>
      </c>
      <c r="G5" s="17" t="s">
        <v>7</v>
      </c>
      <c r="H5" s="17" t="s">
        <v>8</v>
      </c>
      <c r="I5" s="17" t="s">
        <v>9</v>
      </c>
      <c r="J5" s="17" t="s">
        <v>10</v>
      </c>
      <c r="K5" s="17" t="s">
        <v>11</v>
      </c>
      <c r="L5" s="17" t="s">
        <v>12</v>
      </c>
    </row>
    <row r="6" spans="1:12" ht="19.5" customHeight="1" x14ac:dyDescent="0.25">
      <c r="B6" s="19" t="s">
        <v>46</v>
      </c>
      <c r="C6" s="17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13</v>
      </c>
      <c r="I6" s="17" t="s">
        <v>14</v>
      </c>
      <c r="J6" s="17" t="s">
        <v>15</v>
      </c>
      <c r="K6" s="17" t="s">
        <v>16</v>
      </c>
      <c r="L6" s="17" t="s">
        <v>17</v>
      </c>
    </row>
    <row r="7" spans="1:12" ht="19.5" customHeight="1" x14ac:dyDescent="0.25">
      <c r="B7" s="19" t="s">
        <v>2</v>
      </c>
      <c r="C7" s="17" t="s">
        <v>18</v>
      </c>
      <c r="D7" s="17" t="s">
        <v>19</v>
      </c>
      <c r="E7" s="17" t="s">
        <v>20</v>
      </c>
      <c r="F7" s="17" t="s">
        <v>21</v>
      </c>
      <c r="G7" s="17" t="s">
        <v>22</v>
      </c>
      <c r="H7" s="17" t="s">
        <v>23</v>
      </c>
      <c r="I7" s="17" t="s">
        <v>24</v>
      </c>
      <c r="J7" s="17" t="s">
        <v>25</v>
      </c>
      <c r="K7" s="17" t="s">
        <v>26</v>
      </c>
      <c r="L7" s="17" t="s">
        <v>27</v>
      </c>
    </row>
    <row r="8" spans="1:12" ht="19.5" customHeight="1" x14ac:dyDescent="0.25">
      <c r="A8" t="s">
        <v>62</v>
      </c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 ht="19.5" customHeight="1" x14ac:dyDescent="0.25">
      <c r="B9" s="21"/>
      <c r="C9" s="20"/>
      <c r="D9" s="20"/>
      <c r="E9" s="20"/>
      <c r="F9" s="20"/>
      <c r="G9" s="20"/>
      <c r="H9" s="18" t="s">
        <v>52</v>
      </c>
      <c r="I9" s="18" t="s">
        <v>41</v>
      </c>
      <c r="J9" s="20"/>
      <c r="K9" s="20"/>
      <c r="L9" s="20"/>
    </row>
    <row r="10" spans="1:12" ht="19.5" customHeight="1" x14ac:dyDescent="0.25">
      <c r="F10" s="22"/>
      <c r="H10" s="23" t="s">
        <v>4</v>
      </c>
      <c r="I10" s="13">
        <f>HLOOKUP(HLOOKUP(HLOOKUP(HLOOKUP(H10,B5:L7,2,0),Sheet2!B13:G14,2,0),B18:G20,3,0),B24:G26,3,0)</f>
        <v>10</v>
      </c>
    </row>
    <row r="11" spans="1:12" ht="19.5" customHeight="1" x14ac:dyDescent="0.25">
      <c r="A11" t="s">
        <v>53</v>
      </c>
      <c r="H11" s="20"/>
    </row>
    <row r="12" spans="1:12" ht="19.5" customHeight="1" x14ac:dyDescent="0.25">
      <c r="H12" s="20"/>
    </row>
    <row r="13" spans="1:12" ht="19.5" customHeight="1" x14ac:dyDescent="0.25">
      <c r="B13" s="19" t="s">
        <v>30</v>
      </c>
      <c r="C13" s="17" t="s">
        <v>13</v>
      </c>
      <c r="D13" s="17" t="s">
        <v>14</v>
      </c>
      <c r="E13" s="17" t="s">
        <v>15</v>
      </c>
      <c r="F13" s="17" t="s">
        <v>16</v>
      </c>
      <c r="G13" s="17" t="s">
        <v>17</v>
      </c>
      <c r="I13" s="14" t="s">
        <v>52</v>
      </c>
      <c r="J13" s="14" t="s">
        <v>55</v>
      </c>
    </row>
    <row r="14" spans="1:12" ht="19.5" customHeight="1" x14ac:dyDescent="0.25">
      <c r="B14" s="19" t="s">
        <v>31</v>
      </c>
      <c r="C14" s="17" t="s">
        <v>32</v>
      </c>
      <c r="D14" s="17" t="s">
        <v>33</v>
      </c>
      <c r="E14" s="17" t="s">
        <v>34</v>
      </c>
      <c r="F14" s="17" t="s">
        <v>35</v>
      </c>
      <c r="G14" s="17" t="s">
        <v>36</v>
      </c>
      <c r="I14" s="23" t="s">
        <v>3</v>
      </c>
      <c r="J14" s="13" t="str">
        <f>HLOOKUP(HLOOKUP(I14,B5:L7,2,0),B13:G14,2,0)</f>
        <v>Payal Dikshit</v>
      </c>
    </row>
    <row r="15" spans="1:12" ht="19.5" customHeight="1" x14ac:dyDescent="0.25"/>
    <row r="16" spans="1:12" ht="19.5" customHeight="1" x14ac:dyDescent="0.25">
      <c r="A16" t="s">
        <v>56</v>
      </c>
    </row>
    <row r="17" spans="1:10" ht="19.5" customHeight="1" x14ac:dyDescent="0.25"/>
    <row r="18" spans="1:10" ht="19.5" customHeight="1" x14ac:dyDescent="0.25">
      <c r="B18" s="19" t="s">
        <v>31</v>
      </c>
      <c r="C18" s="17" t="s">
        <v>32</v>
      </c>
      <c r="D18" s="17" t="s">
        <v>33</v>
      </c>
      <c r="E18" s="17" t="s">
        <v>34</v>
      </c>
      <c r="F18" s="17" t="s">
        <v>35</v>
      </c>
      <c r="G18" s="17" t="s">
        <v>36</v>
      </c>
      <c r="I18" s="18" t="s">
        <v>30</v>
      </c>
      <c r="J18" s="18" t="s">
        <v>58</v>
      </c>
    </row>
    <row r="19" spans="1:10" ht="19.5" customHeight="1" x14ac:dyDescent="0.25">
      <c r="B19" s="19" t="s">
        <v>47</v>
      </c>
      <c r="C19" s="17" t="s">
        <v>45</v>
      </c>
      <c r="D19" s="17" t="s">
        <v>48</v>
      </c>
      <c r="E19" s="17" t="s">
        <v>49</v>
      </c>
      <c r="F19" s="17" t="s">
        <v>48</v>
      </c>
      <c r="G19" s="17" t="s">
        <v>45</v>
      </c>
      <c r="I19" s="23" t="s">
        <v>14</v>
      </c>
      <c r="J19" s="13" t="str">
        <f>HLOOKUP(HLOOKUP(I19,B13:G14,2,0),B18:G20,3,0)</f>
        <v>Excel</v>
      </c>
    </row>
    <row r="20" spans="1:10" ht="19.5" customHeight="1" x14ac:dyDescent="0.25">
      <c r="B20" s="19" t="s">
        <v>38</v>
      </c>
      <c r="C20" s="17" t="s">
        <v>1</v>
      </c>
      <c r="D20" s="17" t="s">
        <v>42</v>
      </c>
      <c r="E20" s="17" t="s">
        <v>43</v>
      </c>
      <c r="F20" s="17" t="s">
        <v>50</v>
      </c>
      <c r="G20" s="17" t="s">
        <v>44</v>
      </c>
    </row>
    <row r="21" spans="1:10" ht="19.5" customHeight="1" x14ac:dyDescent="0.25"/>
    <row r="22" spans="1:10" ht="19.5" customHeight="1" x14ac:dyDescent="0.25">
      <c r="A22" t="s">
        <v>59</v>
      </c>
    </row>
    <row r="23" spans="1:10" ht="19.5" customHeight="1" x14ac:dyDescent="0.25"/>
    <row r="24" spans="1:10" ht="19.5" customHeight="1" x14ac:dyDescent="0.25">
      <c r="B24" s="19" t="s">
        <v>38</v>
      </c>
      <c r="C24" s="17" t="s">
        <v>1</v>
      </c>
      <c r="D24" s="17" t="s">
        <v>42</v>
      </c>
      <c r="E24" s="17" t="s">
        <v>43</v>
      </c>
      <c r="F24" s="17" t="s">
        <v>50</v>
      </c>
      <c r="G24" s="17" t="s">
        <v>44</v>
      </c>
      <c r="I24" s="18" t="s">
        <v>40</v>
      </c>
      <c r="J24" s="18" t="s">
        <v>47</v>
      </c>
    </row>
    <row r="25" spans="1:10" ht="19.5" customHeight="1" x14ac:dyDescent="0.25">
      <c r="B25" s="19" t="s">
        <v>40</v>
      </c>
      <c r="C25" s="17">
        <v>5</v>
      </c>
      <c r="D25" s="17">
        <v>6</v>
      </c>
      <c r="E25" s="17">
        <v>10</v>
      </c>
      <c r="F25" s="17">
        <v>12</v>
      </c>
      <c r="G25" s="17">
        <v>12</v>
      </c>
      <c r="I25" s="23">
        <v>5</v>
      </c>
      <c r="J25" s="13" t="str">
        <f>_xlfn.XLOOKUP(_xlfn.XLOOKUP(I25,B25:G25,B24:G24,,0),B20:G20,B19:G19,,0)</f>
        <v>Data Science</v>
      </c>
    </row>
    <row r="26" spans="1:10" ht="19.5" customHeight="1" x14ac:dyDescent="0.25">
      <c r="B26" s="19" t="s">
        <v>41</v>
      </c>
      <c r="C26" s="17">
        <v>8</v>
      </c>
      <c r="D26" s="17">
        <v>10</v>
      </c>
      <c r="E26" s="17">
        <v>7</v>
      </c>
      <c r="F26" s="17">
        <v>12</v>
      </c>
      <c r="G26" s="17">
        <v>8</v>
      </c>
    </row>
    <row r="27" spans="1:10" ht="19.5" customHeight="1" x14ac:dyDescent="0.25"/>
    <row r="28" spans="1:10" ht="19.5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Anju Singh</dc:creator>
  <cp:lastModifiedBy>Anju Singh</cp:lastModifiedBy>
  <dcterms:created xsi:type="dcterms:W3CDTF">2025-12-14T17:05:38Z</dcterms:created>
  <dcterms:modified xsi:type="dcterms:W3CDTF">2025-12-16T08:36:16Z</dcterms:modified>
</cp:coreProperties>
</file>