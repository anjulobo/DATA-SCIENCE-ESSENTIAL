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37e1c7adfb8066f7/Desktop/"/>
    </mc:Choice>
  </mc:AlternateContent>
  <xr:revisionPtr revIDLastSave="0" documentId="8_{D105A915-A90E-4179-83B5-5F93E05DA0B6}" xr6:coauthVersionLast="47" xr6:coauthVersionMax="47" xr10:uidLastSave="{00000000-0000-0000-0000-000000000000}"/>
  <bookViews>
    <workbookView xWindow="-120" yWindow="-120" windowWidth="20730" windowHeight="11040" xr2:uid="{BC21CB75-5F40-FC42-8E83-FE2629988548}"/>
  </bookViews>
  <sheets>
    <sheet name="Sheet1" sheetId="1" r:id="rId1"/>
  </sheets>
  <definedNames>
    <definedName name="Slicer_COURSE">#N/A</definedName>
    <definedName name="Slicer_NAM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1" l="1"/>
  <c r="G19" i="1"/>
  <c r="F19" i="1"/>
</calcChain>
</file>

<file path=xl/sharedStrings.xml><?xml version="1.0" encoding="utf-8"?>
<sst xmlns="http://schemas.openxmlformats.org/spreadsheetml/2006/main" count="73" uniqueCount="47">
  <si>
    <t xml:space="preserve">NAME </t>
  </si>
  <si>
    <t>EMAIL</t>
  </si>
  <si>
    <t>Abhimanyu</t>
  </si>
  <si>
    <t>Arjun</t>
  </si>
  <si>
    <t>Champa</t>
  </si>
  <si>
    <t>Gopal</t>
  </si>
  <si>
    <t>Gopi</t>
  </si>
  <si>
    <t>Hari</t>
  </si>
  <si>
    <t>Indu</t>
  </si>
  <si>
    <t>Keshav</t>
  </si>
  <si>
    <t>Lalita</t>
  </si>
  <si>
    <t>madhav</t>
  </si>
  <si>
    <t>Sudevi</t>
  </si>
  <si>
    <t>RNM</t>
  </si>
  <si>
    <t>Visakha</t>
  </si>
  <si>
    <t>Vrinda</t>
  </si>
  <si>
    <t>Abhimanyu@mail.com</t>
  </si>
  <si>
    <t>Arjun@mail.com</t>
  </si>
  <si>
    <t>Champa@mail.com</t>
  </si>
  <si>
    <t>Gopal@mail.com</t>
  </si>
  <si>
    <t>Gopi@mail.com</t>
  </si>
  <si>
    <t>Hari@mail,com</t>
  </si>
  <si>
    <t>Indu@mail.com</t>
  </si>
  <si>
    <t>Keshav@mail.com</t>
  </si>
  <si>
    <t>lalita@mail.com</t>
  </si>
  <si>
    <t>Madhav@mail.com</t>
  </si>
  <si>
    <t>RNM@mail.com</t>
  </si>
  <si>
    <t>Sudevi@mail.com</t>
  </si>
  <si>
    <t>Visakha@mail.com</t>
  </si>
  <si>
    <t>Vrinda@mail.com</t>
  </si>
  <si>
    <t>FEE</t>
  </si>
  <si>
    <t>MAYUR PUBLIC SCHOOL</t>
  </si>
  <si>
    <t>STD ROLL NO</t>
  </si>
  <si>
    <t>COURSE</t>
  </si>
  <si>
    <t>Abhmanyu</t>
  </si>
  <si>
    <t>PYTHON</t>
  </si>
  <si>
    <t>POWER BI</t>
  </si>
  <si>
    <t>DATA BASE</t>
  </si>
  <si>
    <t>EXCEL</t>
  </si>
  <si>
    <t>SQL</t>
  </si>
  <si>
    <t>DATE OF ADMISSION</t>
  </si>
  <si>
    <t>ORIENTATION + FILL COLOR</t>
  </si>
  <si>
    <t>EXAM MARKS</t>
  </si>
  <si>
    <t>AVERAGE OF TOTAL MARKS</t>
  </si>
  <si>
    <t>SUM OF TOTAL</t>
  </si>
  <si>
    <t>COUNT OF NUMBERS</t>
  </si>
  <si>
    <t>CUSTOME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</si>
</sst>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quot;₹&quot;\ #,##0"/>
  </numFmts>
  <fonts count="11" x14ac:knownFonts="1">
    <font>
      <sz val="12"/>
      <color theme="1"/>
      <name val="Calibri"/>
      <family val="2"/>
      <scheme val="minor"/>
    </font>
    <font>
      <u/>
      <sz val="12"/>
      <color theme="10"/>
      <name val="Calibri"/>
      <family val="2"/>
      <scheme val="minor"/>
    </font>
    <font>
      <b/>
      <i/>
      <u/>
      <sz val="22"/>
      <color theme="1"/>
      <name val="Aharoni"/>
      <charset val="177"/>
    </font>
    <font>
      <b/>
      <sz val="16"/>
      <color theme="1"/>
      <name val="Calibri"/>
      <family val="2"/>
      <scheme val="minor"/>
    </font>
    <font>
      <u/>
      <sz val="12"/>
      <color theme="4" tint="-0.249977111117893"/>
      <name val="Calibri"/>
      <family val="2"/>
      <scheme val="minor"/>
    </font>
    <font>
      <sz val="8"/>
      <name val="Calibri"/>
      <family val="2"/>
      <scheme val="minor"/>
    </font>
    <font>
      <b/>
      <u/>
      <sz val="16"/>
      <color theme="1"/>
      <name val="Calibri"/>
      <family val="2"/>
      <scheme val="minor"/>
    </font>
    <font>
      <sz val="12"/>
      <color theme="10"/>
      <name val="Calibri"/>
      <family val="2"/>
      <scheme val="minor"/>
    </font>
    <font>
      <b/>
      <sz val="12"/>
      <color theme="1"/>
      <name val="Calibri"/>
      <family val="2"/>
      <scheme val="minor"/>
    </font>
    <font>
      <sz val="14"/>
      <color theme="1"/>
      <name val="Calibri"/>
      <family val="2"/>
      <scheme val="minor"/>
    </font>
    <font>
      <b/>
      <sz val="12"/>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7"/>
        <bgColor indexed="64"/>
      </patternFill>
    </fill>
    <fill>
      <patternFill patternType="solid">
        <fgColor rgb="FFFF0000"/>
        <bgColor indexed="64"/>
      </patternFill>
    </fill>
    <fill>
      <patternFill patternType="solid">
        <fgColor theme="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s>
  <cellStyleXfs count="3">
    <xf numFmtId="0" fontId="0" fillId="0" borderId="0"/>
    <xf numFmtId="0" fontId="1" fillId="0" borderId="0" applyNumberFormat="0" applyFill="0" applyBorder="0" applyAlignment="0" applyProtection="0"/>
    <xf numFmtId="0" fontId="3" fillId="0" borderId="3">
      <alignment horizontal="center"/>
    </xf>
  </cellStyleXfs>
  <cellXfs count="26">
    <xf numFmtId="0" fontId="0" fillId="0" borderId="0" xfId="0"/>
    <xf numFmtId="0" fontId="0" fillId="0" borderId="1" xfId="0" applyBorder="1" applyAlignment="1">
      <alignment horizontal="center"/>
    </xf>
    <xf numFmtId="0" fontId="1" fillId="0" borderId="1" xfId="1" applyBorder="1" applyAlignment="1">
      <alignment horizontal="center"/>
    </xf>
    <xf numFmtId="0" fontId="4" fillId="0" borderId="1" xfId="1" applyFont="1" applyBorder="1" applyAlignment="1">
      <alignment horizontal="center"/>
    </xf>
    <xf numFmtId="0" fontId="0" fillId="0" borderId="1" xfId="0" applyBorder="1"/>
    <xf numFmtId="0" fontId="1" fillId="0" borderId="1" xfId="1" applyBorder="1" applyAlignment="1" applyProtection="1">
      <alignment horizontal="center"/>
      <protection locked="0"/>
    </xf>
    <xf numFmtId="1" fontId="1" fillId="0" borderId="1" xfId="0" applyNumberFormat="1" applyFont="1" applyBorder="1" applyAlignment="1">
      <alignment horizontal="center"/>
    </xf>
    <xf numFmtId="0" fontId="6" fillId="0" borderId="1" xfId="0" applyFont="1" applyBorder="1"/>
    <xf numFmtId="0" fontId="3" fillId="0" borderId="0" xfId="0" applyFont="1"/>
    <xf numFmtId="0" fontId="6" fillId="0" borderId="0" xfId="0" applyFont="1"/>
    <xf numFmtId="0" fontId="3" fillId="2" borderId="1" xfId="0" applyFont="1" applyFill="1" applyBorder="1" applyAlignment="1">
      <alignment textRotation="45"/>
    </xf>
    <xf numFmtId="0" fontId="3" fillId="3" borderId="1" xfId="0" applyFont="1" applyFill="1" applyBorder="1" applyAlignment="1">
      <alignment textRotation="45"/>
    </xf>
    <xf numFmtId="0" fontId="3" fillId="4" borderId="1" xfId="0" applyFont="1" applyFill="1" applyBorder="1" applyAlignment="1">
      <alignment textRotation="45"/>
    </xf>
    <xf numFmtId="0" fontId="3" fillId="5" borderId="1" xfId="0" applyFont="1" applyFill="1" applyBorder="1" applyAlignment="1">
      <alignment textRotation="45"/>
    </xf>
    <xf numFmtId="0" fontId="9" fillId="0" borderId="0" xfId="0" applyFont="1" applyAlignment="1">
      <alignment wrapText="1"/>
    </xf>
    <xf numFmtId="164" fontId="0" fillId="0" borderId="1" xfId="0" applyNumberFormat="1" applyBorder="1" applyAlignment="1">
      <alignment horizontal="center" vertical="center"/>
    </xf>
    <xf numFmtId="164" fontId="0" fillId="0" borderId="1" xfId="0" applyNumberFormat="1" applyBorder="1" applyAlignment="1">
      <alignment horizontal="center"/>
    </xf>
    <xf numFmtId="0" fontId="8" fillId="4" borderId="1" xfId="0" applyFont="1" applyFill="1" applyBorder="1" applyAlignment="1">
      <alignment horizontal="center"/>
    </xf>
    <xf numFmtId="1" fontId="10" fillId="4" borderId="1" xfId="1" applyNumberFormat="1" applyFont="1" applyFill="1" applyBorder="1" applyAlignment="1">
      <alignment horizontal="center"/>
    </xf>
    <xf numFmtId="0" fontId="8" fillId="6" borderId="1" xfId="0" applyFont="1" applyFill="1" applyBorder="1" applyAlignment="1">
      <alignment wrapText="1"/>
    </xf>
    <xf numFmtId="0" fontId="8" fillId="6" borderId="1" xfId="0" applyFont="1" applyFill="1" applyBorder="1"/>
    <xf numFmtId="1" fontId="0" fillId="0" borderId="1" xfId="0" applyNumberFormat="1" applyBorder="1" applyAlignment="1">
      <alignment horizontal="center"/>
    </xf>
    <xf numFmtId="165" fontId="7" fillId="0" borderId="2" xfId="1" applyNumberFormat="1" applyFont="1" applyBorder="1" applyAlignment="1">
      <alignment horizontal="center"/>
    </xf>
    <xf numFmtId="165" fontId="7" fillId="0" borderId="1" xfId="1" applyNumberFormat="1" applyFont="1" applyBorder="1" applyAlignment="1">
      <alignment horizontal="center"/>
    </xf>
    <xf numFmtId="0" fontId="2" fillId="2" borderId="4" xfId="0" applyFont="1" applyFill="1" applyBorder="1" applyAlignment="1">
      <alignment horizontal="center" vertical="center"/>
    </xf>
    <xf numFmtId="0" fontId="0" fillId="2" borderId="0" xfId="0" applyFill="1" applyAlignment="1">
      <alignment horizontal="center"/>
    </xf>
  </cellXfs>
  <cellStyles count="3">
    <cellStyle name="Hyperlink" xfId="1" builtinId="8"/>
    <cellStyle name="Normal" xfId="0" builtinId="0"/>
    <cellStyle name="Style 1" xfId="2" xr:uid="{5A0CDB8B-4330-4C6B-9842-CB177C6EA42E}"/>
  </cellStyles>
  <dxfs count="19">
    <dxf>
      <font>
        <color rgb="FF9C0006"/>
      </font>
      <fill>
        <patternFill>
          <bgColor rgb="FFFFC7CE"/>
        </patternFill>
      </fill>
    </dxf>
    <dxf>
      <font>
        <b val="0"/>
        <i val="0"/>
        <strike val="0"/>
        <condense val="0"/>
        <extend val="0"/>
        <outline val="0"/>
        <shadow val="0"/>
        <u/>
        <vertAlign val="baseline"/>
        <sz val="12"/>
        <color theme="10"/>
        <name val="Calibri"/>
        <family val="2"/>
        <scheme val="minor"/>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diagonalUp="0" diagonalDown="0">
        <left style="thin">
          <color indexed="64"/>
        </left>
        <right style="thin">
          <color indexed="64"/>
        </right>
        <top/>
        <bottom/>
        <vertical style="thin">
          <color indexed="64"/>
        </vertical>
        <horizontal style="thin">
          <color indexed="64"/>
        </horizontal>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6"/>
        <color theme="1"/>
        <name val="Calibri"/>
        <family val="2"/>
        <scheme val="minor"/>
      </font>
      <alignment horizontal="general" vertical="bottom" textRotation="45"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7" Type="http://schemas.openxmlformats.org/officeDocument/2006/relationships/calcChain" Target="calcChain.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771525</xdr:colOff>
      <xdr:row>2</xdr:row>
      <xdr:rowOff>990600</xdr:rowOff>
    </xdr:from>
    <xdr:to>
      <xdr:col>8</xdr:col>
      <xdr:colOff>721233</xdr:colOff>
      <xdr:row>2</xdr:row>
      <xdr:rowOff>1303781</xdr:rowOff>
    </xdr:to>
    <xdr:sp macro="" textlink="">
      <xdr:nvSpPr>
        <xdr:cNvPr id="2" name="Arrow: Right 1">
          <a:extLst>
            <a:ext uri="{FF2B5EF4-FFF2-40B4-BE49-F238E27FC236}">
              <a16:creationId xmlns:a16="http://schemas.microsoft.com/office/drawing/2014/main" id="{B0EB1F77-77F6-4C60-FE83-CAA3917F9D4E}"/>
            </a:ext>
          </a:extLst>
        </xdr:cNvPr>
        <xdr:cNvSpPr/>
      </xdr:nvSpPr>
      <xdr:spPr>
        <a:xfrm>
          <a:off x="9439275" y="1685925"/>
          <a:ext cx="787908" cy="31318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600075</xdr:colOff>
      <xdr:row>19</xdr:row>
      <xdr:rowOff>57150</xdr:rowOff>
    </xdr:from>
    <xdr:to>
      <xdr:col>5</xdr:col>
      <xdr:colOff>742950</xdr:colOff>
      <xdr:row>21</xdr:row>
      <xdr:rowOff>161926</xdr:rowOff>
    </xdr:to>
    <xdr:sp macro="" textlink="">
      <xdr:nvSpPr>
        <xdr:cNvPr id="3" name="Arrow: Up 2">
          <a:extLst>
            <a:ext uri="{FF2B5EF4-FFF2-40B4-BE49-F238E27FC236}">
              <a16:creationId xmlns:a16="http://schemas.microsoft.com/office/drawing/2014/main" id="{76478485-85B5-CE09-7FBC-4846ABA61621}"/>
            </a:ext>
          </a:extLst>
        </xdr:cNvPr>
        <xdr:cNvSpPr/>
      </xdr:nvSpPr>
      <xdr:spPr>
        <a:xfrm>
          <a:off x="6953250" y="5543550"/>
          <a:ext cx="142875" cy="504826"/>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400050</xdr:colOff>
      <xdr:row>19</xdr:row>
      <xdr:rowOff>19050</xdr:rowOff>
    </xdr:from>
    <xdr:to>
      <xdr:col>6</xdr:col>
      <xdr:colOff>561975</xdr:colOff>
      <xdr:row>21</xdr:row>
      <xdr:rowOff>180975</xdr:rowOff>
    </xdr:to>
    <xdr:sp macro="" textlink="">
      <xdr:nvSpPr>
        <xdr:cNvPr id="4" name="Arrow: Up 3">
          <a:extLst>
            <a:ext uri="{FF2B5EF4-FFF2-40B4-BE49-F238E27FC236}">
              <a16:creationId xmlns:a16="http://schemas.microsoft.com/office/drawing/2014/main" id="{59E32246-9983-BE79-4A59-DA119D7CABFF}"/>
            </a:ext>
          </a:extLst>
        </xdr:cNvPr>
        <xdr:cNvSpPr/>
      </xdr:nvSpPr>
      <xdr:spPr>
        <a:xfrm flipH="1">
          <a:off x="8010525" y="5505450"/>
          <a:ext cx="161925" cy="561975"/>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190500</xdr:colOff>
      <xdr:row>4</xdr:row>
      <xdr:rowOff>38099</xdr:rowOff>
    </xdr:from>
    <xdr:to>
      <xdr:col>9</xdr:col>
      <xdr:colOff>1168908</xdr:colOff>
      <xdr:row>4</xdr:row>
      <xdr:rowOff>208406</xdr:rowOff>
    </xdr:to>
    <xdr:sp macro="" textlink="">
      <xdr:nvSpPr>
        <xdr:cNvPr id="5" name="Arrow: Right 4">
          <a:extLst>
            <a:ext uri="{FF2B5EF4-FFF2-40B4-BE49-F238E27FC236}">
              <a16:creationId xmlns:a16="http://schemas.microsoft.com/office/drawing/2014/main" id="{EB04CE02-C41C-909E-9F9C-B47CD2080667}"/>
            </a:ext>
          </a:extLst>
        </xdr:cNvPr>
        <xdr:cNvSpPr/>
      </xdr:nvSpPr>
      <xdr:spPr>
        <a:xfrm>
          <a:off x="10534650" y="2409824"/>
          <a:ext cx="978408" cy="17030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647700</xdr:colOff>
      <xdr:row>2</xdr:row>
      <xdr:rowOff>38100</xdr:rowOff>
    </xdr:from>
    <xdr:to>
      <xdr:col>14</xdr:col>
      <xdr:colOff>800100</xdr:colOff>
      <xdr:row>8</xdr:row>
      <xdr:rowOff>152400</xdr:rowOff>
    </xdr:to>
    <mc:AlternateContent xmlns:mc="http://schemas.openxmlformats.org/markup-compatibility/2006" xmlns:sle15="http://schemas.microsoft.com/office/drawing/2012/slicer">
      <mc:Choice Requires="sle15">
        <xdr:graphicFrame macro="">
          <xdr:nvGraphicFramePr>
            <xdr:cNvPr id="6" name="NAME ">
              <a:extLst>
                <a:ext uri="{FF2B5EF4-FFF2-40B4-BE49-F238E27FC236}">
                  <a16:creationId xmlns:a16="http://schemas.microsoft.com/office/drawing/2014/main" id="{85A838E5-549D-9F29-1B08-25EA39DA725F}"/>
                </a:ext>
              </a:extLst>
            </xdr:cNvPr>
            <xdr:cNvGraphicFramePr/>
          </xdr:nvGraphicFramePr>
          <xdr:xfrm>
            <a:off x="0" y="0"/>
            <a:ext cx="0" cy="0"/>
          </xdr:xfrm>
          <a:graphic>
            <a:graphicData uri="http://schemas.microsoft.com/office/drawing/2010/slicer">
              <sle:slicer xmlns:sle="http://schemas.microsoft.com/office/drawing/2010/slicer" name="NAME "/>
            </a:graphicData>
          </a:graphic>
        </xdr:graphicFrame>
      </mc:Choice>
      <mc:Fallback xmlns="">
        <xdr:sp macro="" textlink="">
          <xdr:nvSpPr>
            <xdr:cNvPr id="0" name=""/>
            <xdr:cNvSpPr>
              <a:spLocks noTextEdit="1"/>
            </xdr:cNvSpPr>
          </xdr:nvSpPr>
          <xdr:spPr>
            <a:xfrm>
              <a:off x="14039850" y="7334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28575</xdr:colOff>
      <xdr:row>2</xdr:row>
      <xdr:rowOff>38099</xdr:rowOff>
    </xdr:from>
    <xdr:to>
      <xdr:col>16</xdr:col>
      <xdr:colOff>790575</xdr:colOff>
      <xdr:row>8</xdr:row>
      <xdr:rowOff>9524</xdr:rowOff>
    </xdr:to>
    <mc:AlternateContent xmlns:mc="http://schemas.openxmlformats.org/markup-compatibility/2006" xmlns:sle15="http://schemas.microsoft.com/office/drawing/2012/slicer">
      <mc:Choice Requires="sle15">
        <xdr:graphicFrame macro="">
          <xdr:nvGraphicFramePr>
            <xdr:cNvPr id="7" name="COURSE">
              <a:extLst>
                <a:ext uri="{FF2B5EF4-FFF2-40B4-BE49-F238E27FC236}">
                  <a16:creationId xmlns:a16="http://schemas.microsoft.com/office/drawing/2014/main" id="{69A1F8A0-F7F6-5F86-8DAE-9349AD0967CB}"/>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15935325" y="733424"/>
              <a:ext cx="16002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12A1CF37-B315-4221-BF9B-83E0846B2964}" sourceName="NAME ">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4EBCAC04-239E-4BCA-9931-5ECF8201F66C}" sourceName="COURSE">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 xr10:uid="{E9DE9630-209F-41F6-8A3D-261205E1B503}" cache="Slicer_NAME" caption="NAME " startItem="2" rowHeight="257175"/>
  <slicer name="COURSE" xr10:uid="{0767FEA8-441B-4A11-B25E-2B7960C0C1A6}" cache="Slicer_COURSE" caption="COURS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6DF79D-936B-4594-98D3-982CE440002A}" name="Table1" displayName="Table1" ref="B3:G20" totalsRowCount="1" headerRowDxfId="18" dataDxfId="16" totalsRowDxfId="14" headerRowBorderDxfId="17" tableBorderDxfId="15" totalsRowBorderDxfId="13">
  <autoFilter ref="B3:G19" xr:uid="{756DF79D-936B-4594-98D3-982CE440002A}"/>
  <sortState xmlns:xlrd2="http://schemas.microsoft.com/office/spreadsheetml/2017/richdata2" ref="B4:G19">
    <sortCondition descending="1" ref="D4:D19"/>
  </sortState>
  <tableColumns count="6">
    <tableColumn id="1" xr3:uid="{9343E940-2E11-4EDF-B298-C5D669D4E1A3}" name="NAME " dataDxfId="12" totalsRowDxfId="11"/>
    <tableColumn id="5" xr3:uid="{F78A91C6-2215-440B-82A2-FA82375E3563}" name="EMAIL" dataDxfId="10" totalsRowDxfId="9"/>
    <tableColumn id="6" xr3:uid="{0061A094-2F63-4A45-8D07-1DCF9A1275F8}" name="COURSE" dataDxfId="8" totalsRowDxfId="7"/>
    <tableColumn id="7" xr3:uid="{86FB3892-B34C-486F-878F-D2BB0CD3139F}" name="DATE OF ADMISSION" dataDxfId="6" totalsRowDxfId="5"/>
    <tableColumn id="8" xr3:uid="{85A437CA-0050-481B-BF58-B99872D013DC}" name="EXAM MARKS" dataDxfId="4" totalsRowDxfId="3"/>
    <tableColumn id="10" xr3:uid="{B36F6127-99F5-48B7-8DBF-73C5292D13DA}" name="FEE" dataDxfId="2" totalsRowDxfId="1" dataCellStyle="Hyperlink"/>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Keshav@mail.com" TargetMode="External"/><Relationship Id="rId13" Type="http://schemas.openxmlformats.org/officeDocument/2006/relationships/hyperlink" Target="mailto:Visakha@mail.com" TargetMode="External"/><Relationship Id="rId18" Type="http://schemas.openxmlformats.org/officeDocument/2006/relationships/table" Target="../tables/table1.xml"/><Relationship Id="rId3" Type="http://schemas.openxmlformats.org/officeDocument/2006/relationships/hyperlink" Target="mailto:Champa@mail.com" TargetMode="External"/><Relationship Id="rId7" Type="http://schemas.openxmlformats.org/officeDocument/2006/relationships/hyperlink" Target="mailto:Indu@mail.com" TargetMode="External"/><Relationship Id="rId12" Type="http://schemas.openxmlformats.org/officeDocument/2006/relationships/hyperlink" Target="mailto:Sudevi@mail.com" TargetMode="External"/><Relationship Id="rId17" Type="http://schemas.openxmlformats.org/officeDocument/2006/relationships/drawing" Target="../drawings/drawing1.xml"/><Relationship Id="rId2" Type="http://schemas.openxmlformats.org/officeDocument/2006/relationships/hyperlink" Target="mailto:Arjun@mail.com" TargetMode="External"/><Relationship Id="rId16" Type="http://schemas.openxmlformats.org/officeDocument/2006/relationships/printerSettings" Target="../printerSettings/printerSettings1.bin"/><Relationship Id="rId1" Type="http://schemas.openxmlformats.org/officeDocument/2006/relationships/hyperlink" Target="mailto:Abhimanyu@mail.com" TargetMode="External"/><Relationship Id="rId6" Type="http://schemas.openxmlformats.org/officeDocument/2006/relationships/hyperlink" Target="mailto:Hari@mail,com" TargetMode="External"/><Relationship Id="rId11" Type="http://schemas.openxmlformats.org/officeDocument/2006/relationships/hyperlink" Target="mailto:RNM@mail.com" TargetMode="External"/><Relationship Id="rId5" Type="http://schemas.openxmlformats.org/officeDocument/2006/relationships/hyperlink" Target="mailto:Gopi@mail.com" TargetMode="External"/><Relationship Id="rId15" Type="http://schemas.openxmlformats.org/officeDocument/2006/relationships/hyperlink" Target="mailto:Abhimanyu@mail.com" TargetMode="External"/><Relationship Id="rId10" Type="http://schemas.openxmlformats.org/officeDocument/2006/relationships/hyperlink" Target="mailto:Madhav@mail.com" TargetMode="External"/><Relationship Id="rId19" Type="http://schemas.microsoft.com/office/2007/relationships/slicer" Target="../slicers/slicer1.xml"/><Relationship Id="rId4" Type="http://schemas.openxmlformats.org/officeDocument/2006/relationships/hyperlink" Target="mailto:Gopal@mail.com" TargetMode="External"/><Relationship Id="rId9" Type="http://schemas.openxmlformats.org/officeDocument/2006/relationships/hyperlink" Target="mailto:lalita@mail.com" TargetMode="External"/><Relationship Id="rId14" Type="http://schemas.openxmlformats.org/officeDocument/2006/relationships/hyperlink" Target="mailto:Vrinda@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C8C58-C70B-9144-A5F5-C018B7E0E4E0}">
  <sheetPr>
    <tabColor rgb="FF00B050"/>
  </sheetPr>
  <dimension ref="A1:O24"/>
  <sheetViews>
    <sheetView tabSelected="1" zoomScaleNormal="100" workbookViewId="0">
      <selection activeCell="L3" sqref="L3"/>
    </sheetView>
  </sheetViews>
  <sheetFormatPr defaultColWidth="11" defaultRowHeight="15.75" x14ac:dyDescent="0.25"/>
  <cols>
    <col min="1" max="1" width="18.625" customWidth="1"/>
    <col min="2" max="2" width="12.25" customWidth="1"/>
    <col min="3" max="3" width="20.75" customWidth="1"/>
    <col min="4" max="4" width="15.625" customWidth="1"/>
    <col min="5" max="5" width="18.875" customWidth="1"/>
    <col min="6" max="6" width="16.5" customWidth="1"/>
    <col min="7" max="7" width="11.125" customWidth="1"/>
    <col min="10" max="10" width="18" customWidth="1"/>
  </cols>
  <sheetData>
    <row r="1" spans="1:15" ht="33.75" customHeight="1" x14ac:dyDescent="0.25">
      <c r="A1" s="24" t="s">
        <v>31</v>
      </c>
      <c r="B1" s="24"/>
      <c r="C1" s="24"/>
      <c r="D1" s="24"/>
      <c r="E1" s="24"/>
      <c r="F1" s="24"/>
      <c r="G1" s="24"/>
    </row>
    <row r="2" spans="1:15" ht="21" x14ac:dyDescent="0.35">
      <c r="A2" s="7"/>
      <c r="B2" s="1"/>
      <c r="C2" s="1"/>
      <c r="D2" s="1"/>
      <c r="E2" s="1"/>
      <c r="F2" s="1"/>
      <c r="G2" s="4"/>
    </row>
    <row r="3" spans="1:15" ht="116.25" x14ac:dyDescent="0.35">
      <c r="A3" s="10" t="s">
        <v>32</v>
      </c>
      <c r="B3" s="11" t="s">
        <v>0</v>
      </c>
      <c r="C3" s="12" t="s">
        <v>1</v>
      </c>
      <c r="D3" s="13" t="s">
        <v>33</v>
      </c>
      <c r="E3" s="10" t="s">
        <v>40</v>
      </c>
      <c r="F3" s="11" t="s">
        <v>42</v>
      </c>
      <c r="G3" s="12" t="s">
        <v>30</v>
      </c>
      <c r="I3" s="8"/>
      <c r="J3" s="14" t="s">
        <v>41</v>
      </c>
      <c r="K3" s="9"/>
      <c r="L3" s="9"/>
      <c r="M3" s="9"/>
      <c r="N3" s="9"/>
      <c r="O3" s="9"/>
    </row>
    <row r="4" spans="1:15" x14ac:dyDescent="0.25">
      <c r="A4" s="1">
        <v>1</v>
      </c>
      <c r="B4" s="1" t="s">
        <v>34</v>
      </c>
      <c r="C4" s="2" t="s">
        <v>16</v>
      </c>
      <c r="D4" s="1" t="s">
        <v>35</v>
      </c>
      <c r="E4" s="15">
        <v>45912</v>
      </c>
      <c r="F4" s="1">
        <v>90</v>
      </c>
      <c r="G4" s="22">
        <v>10000</v>
      </c>
      <c r="I4" t="s">
        <v>34</v>
      </c>
    </row>
    <row r="5" spans="1:15" ht="18" customHeight="1" x14ac:dyDescent="0.35">
      <c r="A5" s="1">
        <v>2</v>
      </c>
      <c r="B5" s="1" t="s">
        <v>15</v>
      </c>
      <c r="C5" s="2" t="s">
        <v>29</v>
      </c>
      <c r="D5" s="1" t="s">
        <v>36</v>
      </c>
      <c r="E5" s="16">
        <v>45913</v>
      </c>
      <c r="F5" s="1">
        <v>98</v>
      </c>
      <c r="G5" s="22">
        <v>20000</v>
      </c>
      <c r="H5" s="9"/>
      <c r="I5" t="s">
        <v>15</v>
      </c>
      <c r="K5" s="25" t="s">
        <v>46</v>
      </c>
      <c r="L5" s="25"/>
    </row>
    <row r="6" spans="1:15" ht="20.100000000000001" customHeight="1" x14ac:dyDescent="0.25">
      <c r="A6" s="1">
        <v>3</v>
      </c>
      <c r="B6" s="1" t="s">
        <v>6</v>
      </c>
      <c r="C6" s="2" t="s">
        <v>20</v>
      </c>
      <c r="D6" s="1" t="s">
        <v>37</v>
      </c>
      <c r="E6" s="16">
        <v>45912</v>
      </c>
      <c r="F6" s="1">
        <v>96</v>
      </c>
      <c r="G6" s="23">
        <v>15000</v>
      </c>
      <c r="I6" t="s">
        <v>6</v>
      </c>
    </row>
    <row r="7" spans="1:15" x14ac:dyDescent="0.25">
      <c r="A7" s="1">
        <v>4</v>
      </c>
      <c r="B7" s="1" t="s">
        <v>9</v>
      </c>
      <c r="C7" s="2" t="s">
        <v>23</v>
      </c>
      <c r="D7" s="1" t="s">
        <v>38</v>
      </c>
      <c r="E7" s="16">
        <v>45913</v>
      </c>
      <c r="F7" s="1">
        <v>96</v>
      </c>
      <c r="G7" s="23">
        <v>15000</v>
      </c>
      <c r="I7" t="s">
        <v>9</v>
      </c>
    </row>
    <row r="8" spans="1:15" x14ac:dyDescent="0.25">
      <c r="A8" s="1">
        <v>5</v>
      </c>
      <c r="B8" s="1" t="s">
        <v>11</v>
      </c>
      <c r="C8" s="2" t="s">
        <v>25</v>
      </c>
      <c r="D8" s="1" t="s">
        <v>39</v>
      </c>
      <c r="E8" s="16">
        <v>45915</v>
      </c>
      <c r="F8" s="1">
        <v>89</v>
      </c>
      <c r="G8" s="23">
        <v>25000</v>
      </c>
      <c r="I8" t="s">
        <v>11</v>
      </c>
    </row>
    <row r="9" spans="1:15" x14ac:dyDescent="0.25">
      <c r="A9" s="1">
        <v>6</v>
      </c>
      <c r="B9" s="1" t="s">
        <v>13</v>
      </c>
      <c r="C9" s="2" t="s">
        <v>26</v>
      </c>
      <c r="D9" s="1" t="s">
        <v>35</v>
      </c>
      <c r="E9" s="16">
        <v>45913</v>
      </c>
      <c r="F9" s="1">
        <v>77</v>
      </c>
      <c r="G9" s="23">
        <v>18000</v>
      </c>
      <c r="I9" t="s">
        <v>13</v>
      </c>
    </row>
    <row r="10" spans="1:15" x14ac:dyDescent="0.25">
      <c r="A10" s="1">
        <v>7</v>
      </c>
      <c r="B10" s="1" t="s">
        <v>2</v>
      </c>
      <c r="C10" s="2" t="s">
        <v>16</v>
      </c>
      <c r="D10" s="1" t="s">
        <v>36</v>
      </c>
      <c r="E10" s="16">
        <v>45916</v>
      </c>
      <c r="F10" s="1">
        <v>99</v>
      </c>
      <c r="G10" s="23">
        <v>20000</v>
      </c>
      <c r="I10" t="s">
        <v>2</v>
      </c>
    </row>
    <row r="11" spans="1:15" x14ac:dyDescent="0.25">
      <c r="A11" s="1">
        <v>8</v>
      </c>
      <c r="B11" s="1" t="s">
        <v>3</v>
      </c>
      <c r="C11" s="2" t="s">
        <v>17</v>
      </c>
      <c r="D11" s="1" t="s">
        <v>37</v>
      </c>
      <c r="E11" s="16">
        <v>45916</v>
      </c>
      <c r="F11" s="1">
        <v>91</v>
      </c>
      <c r="G11" s="23">
        <v>18000</v>
      </c>
      <c r="I11" t="s">
        <v>3</v>
      </c>
    </row>
    <row r="12" spans="1:15" x14ac:dyDescent="0.25">
      <c r="A12" s="1">
        <v>9</v>
      </c>
      <c r="B12" s="1" t="s">
        <v>7</v>
      </c>
      <c r="C12" s="2" t="s">
        <v>21</v>
      </c>
      <c r="D12" s="1" t="s">
        <v>38</v>
      </c>
      <c r="E12" s="16">
        <v>45912</v>
      </c>
      <c r="F12" s="1">
        <v>80</v>
      </c>
      <c r="G12" s="23">
        <v>18000</v>
      </c>
      <c r="I12" t="s">
        <v>7</v>
      </c>
    </row>
    <row r="13" spans="1:15" x14ac:dyDescent="0.25">
      <c r="A13" s="1">
        <v>10</v>
      </c>
      <c r="B13" s="1" t="s">
        <v>4</v>
      </c>
      <c r="C13" s="2" t="s">
        <v>18</v>
      </c>
      <c r="D13" s="1" t="s">
        <v>39</v>
      </c>
      <c r="E13" s="16">
        <v>45913</v>
      </c>
      <c r="F13" s="1">
        <v>88</v>
      </c>
      <c r="G13" s="23">
        <v>30000</v>
      </c>
      <c r="I13" t="s">
        <v>4</v>
      </c>
    </row>
    <row r="14" spans="1:15" x14ac:dyDescent="0.25">
      <c r="A14" s="1">
        <v>11</v>
      </c>
      <c r="B14" s="1" t="s">
        <v>12</v>
      </c>
      <c r="C14" s="2" t="s">
        <v>27</v>
      </c>
      <c r="D14" s="1" t="s">
        <v>35</v>
      </c>
      <c r="E14" s="16">
        <v>45915</v>
      </c>
      <c r="F14" s="1">
        <v>87</v>
      </c>
      <c r="G14" s="23">
        <v>20000</v>
      </c>
      <c r="I14" t="s">
        <v>12</v>
      </c>
    </row>
    <row r="15" spans="1:15" x14ac:dyDescent="0.25">
      <c r="A15" s="1">
        <v>12</v>
      </c>
      <c r="B15" s="1" t="s">
        <v>5</v>
      </c>
      <c r="C15" s="2" t="s">
        <v>19</v>
      </c>
      <c r="D15" s="1" t="s">
        <v>36</v>
      </c>
      <c r="E15" s="16">
        <v>45913</v>
      </c>
      <c r="F15" s="1">
        <v>79</v>
      </c>
      <c r="G15" s="23">
        <v>17000</v>
      </c>
      <c r="I15" t="s">
        <v>5</v>
      </c>
    </row>
    <row r="16" spans="1:15" x14ac:dyDescent="0.25">
      <c r="A16" s="1">
        <v>13</v>
      </c>
      <c r="B16" s="1" t="s">
        <v>10</v>
      </c>
      <c r="C16" s="3" t="s">
        <v>24</v>
      </c>
      <c r="D16" s="1" t="s">
        <v>37</v>
      </c>
      <c r="E16" s="16">
        <v>45916</v>
      </c>
      <c r="F16" s="1">
        <v>92</v>
      </c>
      <c r="G16" s="23">
        <v>18000</v>
      </c>
      <c r="I16" t="s">
        <v>10</v>
      </c>
    </row>
    <row r="17" spans="1:9" x14ac:dyDescent="0.25">
      <c r="A17" s="1">
        <v>14</v>
      </c>
      <c r="B17" s="1" t="s">
        <v>14</v>
      </c>
      <c r="C17" s="2" t="s">
        <v>28</v>
      </c>
      <c r="D17" s="1" t="s">
        <v>38</v>
      </c>
      <c r="E17" s="16">
        <v>45916</v>
      </c>
      <c r="F17" s="1">
        <v>85</v>
      </c>
      <c r="G17" s="23">
        <v>19000</v>
      </c>
      <c r="I17" t="s">
        <v>14</v>
      </c>
    </row>
    <row r="18" spans="1:9" x14ac:dyDescent="0.25">
      <c r="A18" s="1">
        <v>15</v>
      </c>
      <c r="B18" s="1" t="s">
        <v>8</v>
      </c>
      <c r="C18" s="5" t="s">
        <v>22</v>
      </c>
      <c r="D18" s="1" t="s">
        <v>39</v>
      </c>
      <c r="E18" s="16">
        <v>45913</v>
      </c>
      <c r="F18" s="1">
        <v>89</v>
      </c>
      <c r="G18" s="23">
        <v>20000</v>
      </c>
      <c r="I18" t="s">
        <v>8</v>
      </c>
    </row>
    <row r="19" spans="1:9" x14ac:dyDescent="0.25">
      <c r="A19" s="21">
        <f>COUNT(A4:A18)</f>
        <v>15</v>
      </c>
      <c r="B19" s="1"/>
      <c r="C19" s="1"/>
      <c r="D19" s="1"/>
      <c r="E19" s="1"/>
      <c r="F19" s="17">
        <f>SUBTOTAL(101,F4:F18)</f>
        <v>89.066666666666663</v>
      </c>
      <c r="G19" s="18">
        <f>SUBTOTAL(109,G4:G18)</f>
        <v>283000</v>
      </c>
    </row>
    <row r="20" spans="1:9" x14ac:dyDescent="0.25">
      <c r="A20" s="20" t="s">
        <v>45</v>
      </c>
      <c r="B20" s="1"/>
      <c r="C20" s="1"/>
      <c r="D20" s="1"/>
      <c r="E20" s="1"/>
      <c r="F20" s="1"/>
      <c r="G20" s="6"/>
    </row>
    <row r="22" spans="1:9" ht="15.75" customHeight="1" x14ac:dyDescent="0.25"/>
    <row r="23" spans="1:9" ht="31.5" x14ac:dyDescent="0.25">
      <c r="F23" s="19" t="s">
        <v>43</v>
      </c>
      <c r="G23" s="19" t="s">
        <v>44</v>
      </c>
    </row>
    <row r="24" spans="1:9" ht="17.25" customHeight="1" x14ac:dyDescent="0.25"/>
  </sheetData>
  <mergeCells count="2">
    <mergeCell ref="A1:G1"/>
    <mergeCell ref="K5:L5"/>
  </mergeCells>
  <phoneticPr fontId="5" type="noConversion"/>
  <conditionalFormatting sqref="A4:G18">
    <cfRule type="colorScale" priority="2">
      <colorScale>
        <cfvo type="min"/>
        <cfvo type="percentile" val="50"/>
        <cfvo type="max"/>
        <color rgb="FF63BE7B"/>
        <color rgb="FFFFEB84"/>
        <color rgb="FFF8696B"/>
      </colorScale>
    </cfRule>
  </conditionalFormatting>
  <conditionalFormatting sqref="F4:F18">
    <cfRule type="colorScale" priority="1">
      <colorScale>
        <cfvo type="min"/>
        <cfvo type="percentile" val="50"/>
        <cfvo type="max"/>
        <color rgb="FFF8696B"/>
        <color rgb="FFFFEB84"/>
        <color rgb="FF63BE7B"/>
      </colorScale>
    </cfRule>
  </conditionalFormatting>
  <conditionalFormatting sqref="I3">
    <cfRule type="iconSet" priority="3">
      <iconSet iconSet="3Arrows">
        <cfvo type="percent" val="0"/>
        <cfvo type="percent" val="33"/>
        <cfvo type="percent" val="67"/>
      </iconSet>
    </cfRule>
  </conditionalFormatting>
  <conditionalFormatting sqref="N3">
    <cfRule type="duplicateValues" dxfId="0" priority="4"/>
  </conditionalFormatting>
  <hyperlinks>
    <hyperlink ref="C10" r:id="rId1" xr:uid="{2EB09A4A-5EAE-4670-AD58-6736AE8D19BC}"/>
    <hyperlink ref="C11" r:id="rId2" xr:uid="{B8A8784F-699A-4C3F-871E-F5A1E0AEF6CA}"/>
    <hyperlink ref="C13" r:id="rId3" xr:uid="{22120A22-B921-40E5-8F01-80B642C8BCF0}"/>
    <hyperlink ref="C15" r:id="rId4" xr:uid="{01418A57-D70F-4A00-B06D-1376A9484739}"/>
    <hyperlink ref="C6" r:id="rId5" xr:uid="{9B2D0DDE-2052-4E41-8088-8787C98FA496}"/>
    <hyperlink ref="C12" r:id="rId6" xr:uid="{4DB01B24-5A0A-4520-A4EA-807E80A8C1CA}"/>
    <hyperlink ref="C18" r:id="rId7" xr:uid="{D207A457-786B-4026-8986-082C6806EA78}"/>
    <hyperlink ref="C7" r:id="rId8" xr:uid="{BC728BAF-54F9-4003-A59D-6A4559D88D79}"/>
    <hyperlink ref="C16" r:id="rId9" xr:uid="{0EA7DA5E-6281-49B2-9488-9186E931B30A}"/>
    <hyperlink ref="C8" r:id="rId10" xr:uid="{D65FEECB-4384-4212-964E-B7970CE7BCC4}"/>
    <hyperlink ref="C9" r:id="rId11" xr:uid="{B35062BC-9ED4-440C-8246-73EB601D2710}"/>
    <hyperlink ref="C14" r:id="rId12" xr:uid="{FD0AFB98-6134-4770-A8C0-C89952A1E7B5}"/>
    <hyperlink ref="C17" r:id="rId13" xr:uid="{835B7306-7E7B-4A8A-9055-6BE74856BB5F}"/>
    <hyperlink ref="C5" r:id="rId14" xr:uid="{DB0F628E-0275-49F3-9E80-877B8807F229}"/>
    <hyperlink ref="C4" r:id="rId15" xr:uid="{312183BD-E5FA-42FD-9620-3F5288BDB06F}"/>
  </hyperlinks>
  <pageMargins left="0.7" right="0.7" top="0.75" bottom="0.75" header="0.3" footer="0.3"/>
  <pageSetup orientation="portrait" r:id="rId16"/>
  <drawing r:id="rId17"/>
  <tableParts count="1">
    <tablePart r:id="rId18"/>
  </tableParts>
  <extLst>
    <ext xmlns:x15="http://schemas.microsoft.com/office/spreadsheetml/2010/11/main" uri="{3A4CF648-6AED-40f4-86FF-DC5316D8AED3}">
      <x14:slicerList xmlns:x14="http://schemas.microsoft.com/office/spreadsheetml/2009/9/main">
        <x14:slicer r:id="rId1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Anju Singh</dc:creator>
  <cp:lastModifiedBy>Anju Singh</cp:lastModifiedBy>
  <dcterms:created xsi:type="dcterms:W3CDTF">2025-08-29T03:25:50Z</dcterms:created>
  <dcterms:modified xsi:type="dcterms:W3CDTF">2025-12-16T08:38:56Z</dcterms:modified>
</cp:coreProperties>
</file>